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Campaign Performance" sheetId="2" state="visible" r:id="rId4"/>
    <sheet name="Weekly Trend &amp; Cha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<sst xmlns="http://schemas.openxmlformats.org/spreadsheetml/2006/main" count="164" uniqueCount="72">
  <si>
    <t xml:space="preserve">KAAPI CULTURE</t>
  </si>
  <si>
    <t xml:space="preserve">Paid Ads Performance Report — July 2026</t>
  </si>
  <si>
    <t xml:space="preserve">Brand</t>
  </si>
  <si>
    <t xml:space="preserve">Kaapi Culture — D2C single-origin filter kaapi subscription brand (fictional, for portfolio use)</t>
  </si>
  <si>
    <t xml:space="preserve">Reporting period</t>
  </si>
  <si>
    <t xml:space="preserve">1 – 31 July 2026</t>
  </si>
  <si>
    <t xml:space="preserve">Platforms</t>
  </si>
  <si>
    <t xml:space="preserve">Meta Ads (Instagram + Facebook) and Google Ads (Search + Performance Max)</t>
  </si>
  <si>
    <t xml:space="preserve">Campaigns tracked</t>
  </si>
  <si>
    <t xml:space="preserve">6 (3 Meta, 3 Google)</t>
  </si>
  <si>
    <t xml:space="preserve">Prepared for</t>
  </si>
  <si>
    <t xml:space="preserve">ScholarX Digital Marketing Internship — Project 2</t>
  </si>
  <si>
    <t xml:space="preserve">Headline results</t>
  </si>
  <si>
    <t xml:space="preserve">Total spend</t>
  </si>
  <si>
    <t xml:space="preserve">Total revenue</t>
  </si>
  <si>
    <t xml:space="preserve">Blended ROAS</t>
  </si>
  <si>
    <t xml:space="preserve">Total conversions</t>
  </si>
  <si>
    <t xml:space="preserve">Blended CPA</t>
  </si>
  <si>
    <t xml:space="preserve">Total clicks</t>
  </si>
  <si>
    <t xml:space="preserve">Total impressions</t>
  </si>
  <si>
    <t xml:space="preserve">Blended CTR</t>
  </si>
  <si>
    <t xml:space="preserve">Platform split</t>
  </si>
  <si>
    <t xml:space="preserve">Meta — Spend</t>
  </si>
  <si>
    <t xml:space="preserve">Meta — Revenue</t>
  </si>
  <si>
    <t xml:space="preserve">Google — Spend</t>
  </si>
  <si>
    <t xml:space="preserve">Google — Revenue</t>
  </si>
  <si>
    <t xml:space="preserve">Key insights</t>
  </si>
  <si>
    <t xml:space="preserve">•</t>
  </si>
  <si>
    <t xml:space="preserve">Retargeting — Subscribe (Meta) was the strongest performer: ₹35,000 spend drove 399 conversions at a 6.83x ROAS and the lowest CPA (₹87.72) of any campaign — warm-audience retargeting converts far more efficiently than cold reach.</t>
  </si>
  <si>
    <t xml:space="preserve">Performance Max — Gifting (Google) delivered the second-best ROAS (6.43x) on the back of a higher ₹1,299 gift-box AOV, even with fewer conversions — a good candidate for scaling ahead of the August festive campaign.</t>
  </si>
  <si>
    <t xml:space="preserve">Brand Awareness — Reels and Search — Competitor Terms were the weakest campaigns (2.5x and 2.44x ROAS). Both serve top-of-funnel goals rather than direct conversion, so they should be judged on reach/consideration, not ROAS alone.</t>
  </si>
  <si>
    <t xml:space="preserve">Meta out-performed Google on blended ROAS (4.95x vs 4.79x) and CPA (₹120.97 vs ₹164.84), largely driven by retargeting; Google's Search — Branded + Generic still delivered a healthy 4.89x ROAS from high-intent traffic.</t>
  </si>
  <si>
    <t xml:space="preserve">Performance improved week over week as targeting and creative were optimised — CTR and conversion rate both trended upward from Week 1 to Week 5, with an added lift in Weeks 4–5 from the #MyKaapiMoment giveaway and July offers, which aligned paid spend with the organic content calendar.</t>
  </si>
  <si>
    <t xml:space="preserve">Recommendations for August</t>
  </si>
  <si>
    <t xml:space="preserve">→</t>
  </si>
  <si>
    <t xml:space="preserve">Reallocate ~₹10,000/month from Search — Competitor Terms into Retargeting — Subscribe to capture more high-intent, warm-audience conversions.</t>
  </si>
  <si>
    <t xml:space="preserve">Scale Performance Max — Gifting ahead of the August Independence Day campaign teased in the content calendar; gifting AOV nearly doubles standard subscription AOV.</t>
  </si>
  <si>
    <t xml:space="preserve">Keep Brand Awareness — Reels funded at a similar level, but measure it on reach and video completion rate rather than ROAS, and feed top performers into future retargeting audiences.</t>
  </si>
  <si>
    <t xml:space="preserve">Time UGC-driven paid boosts (e.g. #MyKaapiMoment) to run alongside organic community weeks, as this is when engagement and CVR both peaked in July.</t>
  </si>
  <si>
    <t xml:space="preserve">Week</t>
  </si>
  <si>
    <t xml:space="preserve">Platform</t>
  </si>
  <si>
    <t xml:space="preserve">Campaign</t>
  </si>
  <si>
    <t xml:space="preserve">Objective</t>
  </si>
  <si>
    <t xml:space="preserve">Impressions</t>
  </si>
  <si>
    <t xml:space="preserve">Clicks</t>
  </si>
  <si>
    <t xml:space="preserve">CTR (%)</t>
  </si>
  <si>
    <t xml:space="preserve">Spend (₹)</t>
  </si>
  <si>
    <t xml:space="preserve">CPC (₹)</t>
  </si>
  <si>
    <t xml:space="preserve">Conversions</t>
  </si>
  <si>
    <t xml:space="preserve">CVR (%)</t>
  </si>
  <si>
    <t xml:space="preserve">CPA (₹)</t>
  </si>
  <si>
    <t xml:space="preserve">Revenue (₹)</t>
  </si>
  <si>
    <t xml:space="preserve">ROAS</t>
  </si>
  <si>
    <t xml:space="preserve">Meta</t>
  </si>
  <si>
    <t xml:space="preserve">Brand Awareness — Reels</t>
  </si>
  <si>
    <t xml:space="preserve">Awareness / Video Views</t>
  </si>
  <si>
    <t xml:space="preserve">Retargeting — Subscribe</t>
  </si>
  <si>
    <t xml:space="preserve">UGC Giveaway Boost</t>
  </si>
  <si>
    <t xml:space="preserve">Engagement / Traffic</t>
  </si>
  <si>
    <t xml:space="preserve">Google</t>
  </si>
  <si>
    <t xml:space="preserve">Search — Branded + Generic</t>
  </si>
  <si>
    <t xml:space="preserve">Search / Conversions</t>
  </si>
  <si>
    <t xml:space="preserve">Performance Max — Gifting</t>
  </si>
  <si>
    <t xml:space="preserve">Sales (broad)</t>
  </si>
  <si>
    <t xml:space="preserve">Search — Competitor Terms</t>
  </si>
  <si>
    <t xml:space="preserve">Search / Consideration</t>
  </si>
  <si>
    <t xml:space="preserve">Week Theme</t>
  </si>
  <si>
    <t xml:space="preserve">Brand Introduction &amp; Heritage</t>
  </si>
  <si>
    <t xml:space="preserve">Brew Education</t>
  </si>
  <si>
    <t xml:space="preserve">Sourcing &amp; Behind-the-Scenes</t>
  </si>
  <si>
    <t xml:space="preserve">Community &amp; UGC</t>
  </si>
  <si>
    <t xml:space="preserve">Offers, Recap &amp; August Teaser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</si>
</sst>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0.00\x"/>
    <numFmt numFmtId="167" formatCode="#,##0"/>
    <numFmt numFmtId="168" formatCode="\₹#,##0.00"/>
    <numFmt numFmtId="169" formatCode="0.0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2B1B0E"/>
      <name val="Calibri"/>
      <family val="0"/>
      <charset val="1"/>
    </font>
    <font>
      <sz val="11"/>
      <color rgb="FF2B1B0E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9A3A0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877F2"/>
      <name val="Calibri"/>
      <family val="0"/>
      <charset val="1"/>
    </font>
    <font>
      <b val="true"/>
      <sz val="10"/>
      <color rgb="FF4285F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B1B0E"/>
        <bgColor rgb="FF333333"/>
      </patternFill>
    </fill>
    <fill>
      <patternFill patternType="solid">
        <fgColor rgb="FF9A3A0E"/>
        <bgColor rgb="FF993366"/>
      </patternFill>
    </fill>
    <fill>
      <patternFill patternType="solid">
        <fgColor rgb="FFFBF3E7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7DCC8"/>
      </left>
      <right style="thin">
        <color rgb="FFE7DCC8"/>
      </right>
      <top style="thin">
        <color rgb="FFE7DCC8"/>
      </top>
      <bottom style="thin">
        <color rgb="FFE7DC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B1B0E"/>
          <bgColor rgb="FF000000"/>
        </patternFill>
      </fill>
    </dxf>
    <dxf>
      <fill>
        <patternFill patternType="solid">
          <fgColor rgb="FFFBF3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877F2"/>
          <bgColor rgb="FF000000"/>
        </patternFill>
      </fill>
    </dxf>
    <dxf>
      <fill>
        <patternFill patternType="solid">
          <fgColor rgb="FF4285F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BF3E7"/>
      <rgbColor rgb="FFF9F9F9"/>
      <rgbColor rgb="FF660066"/>
      <rgbColor rgb="FFFF8080"/>
      <rgbColor rgb="FF4285F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7DCC8"/>
      <rgbColor rgb="FF1877F2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4F81BD"/>
      <rgbColor rgb="FF003300"/>
      <rgbColor rgb="FF2B1B0E"/>
      <rgbColor rgb="FF9A3A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Spend vs Revenue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Trend &amp; Charts'!C1</c:f>
              <c:strCache>
                <c:ptCount val="1"/>
                <c:pt idx="0">
                  <c:v>Spend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 &amp; Charts'!$A$2:$A$6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'Weekly Trend &amp; Charts'!$C$2:$C$6</c:f>
              <c:numCache>
                <c:formatCode>General</c:formatCode>
                <c:ptCount val="5"/>
                <c:pt idx="0">
                  <c:v>29030</c:v>
                </c:pt>
                <c:pt idx="1">
                  <c:v>33880</c:v>
                </c:pt>
                <c:pt idx="2">
                  <c:v>33840</c:v>
                </c:pt>
                <c:pt idx="3">
                  <c:v>33880</c:v>
                </c:pt>
                <c:pt idx="4">
                  <c:v>19370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'Weekly Trend &amp; Charts'!F1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 &amp; Charts'!$A$2:$A$6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'Weekly Trend &amp; Charts'!$F$2:$F$6</c:f>
              <c:numCache>
                <c:formatCode>General</c:formatCode>
                <c:ptCount val="5"/>
                <c:pt idx="0">
                  <c:v>125111</c:v>
                </c:pt>
                <c:pt idx="1">
                  <c:v>151770</c:v>
                </c:pt>
                <c:pt idx="2">
                  <c:v>160957</c:v>
                </c:pt>
                <c:pt idx="3">
                  <c:v>179627</c:v>
                </c:pt>
                <c:pt idx="4">
                  <c:v>115527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328327"/>
        <c:axId val="44915365"/>
      </c:lineChart>
      <c:catAx>
        <c:axId val="703283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15365"/>
        <c:crosses val="autoZero"/>
        <c:auto val="1"/>
        <c:lblAlgn val="ctr"/>
        <c:lblOffset val="100"/>
        <c:noMultiLvlLbl val="0"/>
      </c:catAx>
      <c:valAx>
        <c:axId val="44915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283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Blended ROAS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Trend &amp; Charts'!G1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 &amp; Charts'!$A$2:$A$6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'Weekly Trend &amp; Charts'!$G$2:$G$6</c:f>
              <c:numCache>
                <c:formatCode>0.00\x</c:formatCode>
                <c:ptCount val="5"/>
                <c:pt idx="0">
                  <c:v>4.30971408887358</c:v>
                </c:pt>
                <c:pt idx="1">
                  <c:v>4.47963400236128</c:v>
                </c:pt>
                <c:pt idx="2">
                  <c:v>4.75641252955083</c:v>
                </c:pt>
                <c:pt idx="3">
                  <c:v>5.30185950413223</c:v>
                </c:pt>
                <c:pt idx="4">
                  <c:v>5.96422302529685</c:v>
                </c:pt>
              </c:numCache>
            </c:numRef>
          </c:val>
        </c:ser>
        <c:gapWidth val="150"/>
        <c:overlap val="0"/>
        <c:axId val="19896721"/>
        <c:axId val="14233621"/>
      </c:barChart>
      <c:catAx>
        <c:axId val="198967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33621"/>
        <c:crosses val="autoZero"/>
        <c:auto val="1"/>
        <c:lblAlgn val="ctr"/>
        <c:lblOffset val="100"/>
        <c:noMultiLvlLbl val="0"/>
      </c:catAx>
      <c:valAx>
        <c:axId val="142336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ROAS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967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19</xdr:col>
      <xdr:colOff>255960</xdr:colOff>
      <xdr:row>16</xdr:row>
      <xdr:rowOff>22320</xdr:rowOff>
    </xdr:to>
    <xdr:graphicFrame>
      <xdr:nvGraphicFramePr>
        <xdr:cNvPr id="0" name="Chart 1"/>
        <xdr:cNvGraphicFramePr/>
      </xdr:nvGraphicFramePr>
      <xdr:xfrm>
        <a:off x="8576280" y="324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17</xdr:row>
      <xdr:rowOff>0</xdr:rowOff>
    </xdr:from>
    <xdr:to>
      <xdr:col>19</xdr:col>
      <xdr:colOff>255960</xdr:colOff>
      <xdr:row>32</xdr:row>
      <xdr:rowOff>21960</xdr:rowOff>
    </xdr:to>
    <xdr:graphicFrame>
      <xdr:nvGraphicFramePr>
        <xdr:cNvPr id="1" name="Chart 2"/>
        <xdr:cNvGraphicFramePr/>
      </xdr:nvGraphicFramePr>
      <xdr:xfrm>
        <a:off x="8576280" y="33717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mpaignPerformance" displayName="CampaignPerformance" ref="A1:N31" headerRowCount="1" totalsRowCount="0" totalsRowShown="0">
  <autoFilter ref="A1:N31"/>
  <tableColumns count="14">
    <tableColumn id="1" name="Week"/>
    <tableColumn id="2" name="Platform"/>
    <tableColumn id="3" name="Campaign"/>
    <tableColumn id="4" name="Objective"/>
    <tableColumn id="5" name="Impressions"/>
    <tableColumn id="6" name="Clicks"/>
    <tableColumn id="7" name="CTR (%)"/>
    <tableColumn id="8" name="Spend (₹)"/>
    <tableColumn id="9" name="CPC (₹)"/>
    <tableColumn id="10" name="Conversions"/>
    <tableColumn id="11" name="CVR (%)"/>
    <tableColumn id="12" name="CPA (₹)"/>
    <tableColumn id="13" name="Revenue (₹)"/>
    <tableColumn id="14" name="ROAS"/>
  </tableColumns>
</table>
</file>

<file path=xl/tables/table2.xml><?xml version="1.0" encoding="utf-8"?>
<table xmlns="http://schemas.openxmlformats.org/spreadsheetml/2006/main" id="2" name="WeeklyTrend" displayName="WeeklyTrend" ref="A1:I6" headerRowCount="1" totalsRowCount="0" totalsRowShown="0">
  <autoFilter ref="A1:I6"/>
  <tableColumns count="9">
    <tableColumn id="1" name="Week"/>
    <tableColumn id="2" name="Week Theme"/>
    <tableColumn id="3" name="Spend (₹)"/>
    <tableColumn id="4" name="Clicks"/>
    <tableColumn id="5" name="Conversions"/>
    <tableColumn id="6" name="Revenue (₹)"/>
    <tableColumn id="7" name="ROAS"/>
    <tableColumn id="8" name="CTR (%)"/>
    <tableColumn id="9" name="CVR (%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</cols>
  <sheetData>
    <row r="1" customFormat="false" ht="33.75" hidden="false" customHeight="true" outlineLevel="0" collapsed="false">
      <c r="A1" s="1" t="s">
        <v>0</v>
      </c>
      <c r="B1" s="2" t="s">
        <v>1</v>
      </c>
    </row>
    <row r="3" customFormat="false" ht="28.35" hidden="false" customHeight="false" outlineLevel="0" collapsed="false">
      <c r="A3" s="3" t="s">
        <v>2</v>
      </c>
      <c r="B3" s="4" t="s">
        <v>3</v>
      </c>
    </row>
    <row r="4" customFormat="false" ht="15" hidden="false" customHeight="false" outlineLevel="0" collapsed="false">
      <c r="A4" s="3" t="s">
        <v>4</v>
      </c>
      <c r="B4" s="4" t="s">
        <v>5</v>
      </c>
    </row>
    <row r="5" customFormat="false" ht="28.35" hidden="false" customHeight="false" outlineLevel="0" collapsed="false">
      <c r="A5" s="3" t="s">
        <v>6</v>
      </c>
      <c r="B5" s="4" t="s">
        <v>7</v>
      </c>
    </row>
    <row r="6" customFormat="false" ht="15" hidden="false" customHeight="false" outlineLevel="0" collapsed="false">
      <c r="A6" s="3" t="s">
        <v>8</v>
      </c>
      <c r="B6" s="4" t="s">
        <v>9</v>
      </c>
    </row>
    <row r="7" customFormat="false" ht="15" hidden="false" customHeight="false" outlineLevel="0" collapsed="false">
      <c r="A7" s="3" t="s">
        <v>10</v>
      </c>
      <c r="B7" s="4" t="s">
        <v>11</v>
      </c>
    </row>
    <row r="9" customFormat="false" ht="15" hidden="false" customHeight="false" outlineLevel="0" collapsed="false">
      <c r="A9" s="5" t="s">
        <v>12</v>
      </c>
      <c r="B9" s="5"/>
    </row>
    <row r="10" customFormat="false" ht="15" hidden="false" customHeight="false" outlineLevel="0" collapsed="false">
      <c r="A10" s="3" t="s">
        <v>13</v>
      </c>
      <c r="B10" s="6" t="n">
        <f aca="false">SUM('Campaign Performance'!H2:H31)</f>
        <v>150000</v>
      </c>
    </row>
    <row r="11" customFormat="false" ht="15" hidden="false" customHeight="false" outlineLevel="0" collapsed="false">
      <c r="A11" s="3" t="s">
        <v>14</v>
      </c>
      <c r="B11" s="6" t="n">
        <f aca="false">SUM('Campaign Performance'!M2:M31)</f>
        <v>732992</v>
      </c>
    </row>
    <row r="12" customFormat="false" ht="15" hidden="false" customHeight="false" outlineLevel="0" collapsed="false">
      <c r="A12" s="3" t="s">
        <v>15</v>
      </c>
      <c r="B12" s="7" t="n">
        <f aca="false">B11/B10</f>
        <v>4.88661333333333</v>
      </c>
    </row>
    <row r="13" customFormat="false" ht="15" hidden="false" customHeight="false" outlineLevel="0" collapsed="false">
      <c r="A13" s="3" t="s">
        <v>16</v>
      </c>
      <c r="B13" s="8" t="n">
        <f aca="false">SUM('Campaign Performance'!J2:J31)</f>
        <v>1108</v>
      </c>
    </row>
    <row r="14" customFormat="false" ht="15" hidden="false" customHeight="false" outlineLevel="0" collapsed="false">
      <c r="A14" s="3" t="s">
        <v>17</v>
      </c>
      <c r="B14" s="9" t="n">
        <f aca="false">B10/B13</f>
        <v>135.379061371841</v>
      </c>
    </row>
    <row r="15" customFormat="false" ht="15" hidden="false" customHeight="false" outlineLevel="0" collapsed="false">
      <c r="A15" s="3" t="s">
        <v>18</v>
      </c>
      <c r="B15" s="8" t="n">
        <f aca="false">SUM('Campaign Performance'!F2:F31)</f>
        <v>31440</v>
      </c>
    </row>
    <row r="16" customFormat="false" ht="15" hidden="false" customHeight="false" outlineLevel="0" collapsed="false">
      <c r="A16" s="3" t="s">
        <v>19</v>
      </c>
      <c r="B16" s="8" t="n">
        <f aca="false">SUM('Campaign Performance'!E2:E31)</f>
        <v>1227719</v>
      </c>
    </row>
    <row r="17" customFormat="false" ht="15" hidden="false" customHeight="false" outlineLevel="0" collapsed="false">
      <c r="A17" s="3" t="s">
        <v>20</v>
      </c>
      <c r="B17" s="10" t="n">
        <f aca="false">B15/B16</f>
        <v>0.0256084657808505</v>
      </c>
    </row>
    <row r="19" customFormat="false" ht="15" hidden="false" customHeight="false" outlineLevel="0" collapsed="false">
      <c r="A19" s="5" t="s">
        <v>21</v>
      </c>
      <c r="B19" s="5"/>
    </row>
    <row r="20" customFormat="false" ht="15" hidden="false" customHeight="false" outlineLevel="0" collapsed="false">
      <c r="A20" s="3" t="s">
        <v>22</v>
      </c>
      <c r="B20" s="11" t="n">
        <f aca="false">SUMIF('Campaign Performance'!B2:B31,"Meta",'Campaign Performance'!H2:H31)</f>
        <v>90000</v>
      </c>
    </row>
    <row r="21" customFormat="false" ht="15" hidden="false" customHeight="false" outlineLevel="0" collapsed="false">
      <c r="A21" s="3" t="s">
        <v>23</v>
      </c>
      <c r="B21" s="11" t="n">
        <f aca="false">SUMIF('Campaign Performance'!B2:B31,"Meta",'Campaign Performance'!M2:M31)</f>
        <v>445656</v>
      </c>
    </row>
    <row r="22" customFormat="false" ht="15" hidden="false" customHeight="false" outlineLevel="0" collapsed="false">
      <c r="A22" s="3" t="s">
        <v>24</v>
      </c>
      <c r="B22" s="11" t="n">
        <f aca="false">SUMIF('Campaign Performance'!B2:B31,"Google",'Campaign Performance'!H2:H31)</f>
        <v>60000</v>
      </c>
    </row>
    <row r="23" customFormat="false" ht="15" hidden="false" customHeight="false" outlineLevel="0" collapsed="false">
      <c r="A23" s="3" t="s">
        <v>25</v>
      </c>
      <c r="B23" s="11" t="n">
        <f aca="false">SUMIF('Campaign Performance'!B2:B31,"Google",'Campaign Performance'!M2:M31)</f>
        <v>287336</v>
      </c>
    </row>
    <row r="25" customFormat="false" ht="15" hidden="false" customHeight="false" outlineLevel="0" collapsed="false">
      <c r="A25" s="5" t="s">
        <v>26</v>
      </c>
      <c r="B25" s="5"/>
    </row>
    <row r="26" customFormat="false" ht="45" hidden="false" customHeight="true" outlineLevel="0" collapsed="false">
      <c r="A26" s="12" t="s">
        <v>27</v>
      </c>
      <c r="B26" s="4" t="s">
        <v>28</v>
      </c>
    </row>
    <row r="27" customFormat="false" ht="45" hidden="false" customHeight="true" outlineLevel="0" collapsed="false">
      <c r="A27" s="12" t="s">
        <v>27</v>
      </c>
      <c r="B27" s="4" t="s">
        <v>29</v>
      </c>
    </row>
    <row r="28" customFormat="false" ht="45" hidden="false" customHeight="true" outlineLevel="0" collapsed="false">
      <c r="A28" s="12" t="s">
        <v>27</v>
      </c>
      <c r="B28" s="4" t="s">
        <v>30</v>
      </c>
    </row>
    <row r="29" customFormat="false" ht="45" hidden="false" customHeight="true" outlineLevel="0" collapsed="false">
      <c r="A29" s="12" t="s">
        <v>27</v>
      </c>
      <c r="B29" s="4" t="s">
        <v>31</v>
      </c>
    </row>
    <row r="30" customFormat="false" ht="45" hidden="false" customHeight="true" outlineLevel="0" collapsed="false">
      <c r="A30" s="12" t="s">
        <v>27</v>
      </c>
      <c r="B30" s="4" t="s">
        <v>32</v>
      </c>
    </row>
    <row r="32" customFormat="false" ht="15" hidden="false" customHeight="false" outlineLevel="0" collapsed="false">
      <c r="A32" s="5" t="s">
        <v>33</v>
      </c>
      <c r="B32" s="5"/>
    </row>
    <row r="33" customFormat="false" ht="39.75" hidden="false" customHeight="true" outlineLevel="0" collapsed="false">
      <c r="A33" s="12" t="s">
        <v>34</v>
      </c>
      <c r="B33" s="4" t="s">
        <v>35</v>
      </c>
    </row>
    <row r="34" customFormat="false" ht="39.75" hidden="false" customHeight="true" outlineLevel="0" collapsed="false">
      <c r="A34" s="12" t="s">
        <v>34</v>
      </c>
      <c r="B34" s="4" t="s">
        <v>36</v>
      </c>
    </row>
    <row r="35" customFormat="false" ht="39.75" hidden="false" customHeight="true" outlineLevel="0" collapsed="false">
      <c r="A35" s="12" t="s">
        <v>34</v>
      </c>
      <c r="B35" s="4" t="s">
        <v>37</v>
      </c>
    </row>
    <row r="36" customFormat="false" ht="39.75" hidden="false" customHeight="true" outlineLevel="0" collapsed="false">
      <c r="A36" s="12" t="s">
        <v>34</v>
      </c>
      <c r="B36" s="4" t="s">
        <v>38</v>
      </c>
    </row>
  </sheetData>
  <mergeCells count="4">
    <mergeCell ref="A9:B9"/>
    <mergeCell ref="A19:B19"/>
    <mergeCell ref="A25:B25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9"/>
  </cols>
  <sheetData>
    <row r="1" customFormat="false" ht="27.75" hidden="false" customHeight="true" outlineLevel="0" collapsed="false">
      <c r="A1" s="13" t="s">
        <v>39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48</v>
      </c>
      <c r="K1" s="13" t="s">
        <v>49</v>
      </c>
      <c r="L1" s="13" t="s">
        <v>50</v>
      </c>
      <c r="M1" s="13" t="s">
        <v>51</v>
      </c>
      <c r="N1" s="13" t="s">
        <v>52</v>
      </c>
    </row>
    <row r="2" customFormat="false" ht="15" hidden="false" customHeight="false" outlineLevel="0" collapsed="false">
      <c r="A2" s="14" t="n">
        <v>1</v>
      </c>
      <c r="B2" s="15" t="s">
        <v>53</v>
      </c>
      <c r="C2" s="16" t="s">
        <v>54</v>
      </c>
      <c r="D2" s="16" t="s">
        <v>55</v>
      </c>
      <c r="E2" s="17" t="n">
        <v>100889</v>
      </c>
      <c r="F2" s="17" t="n">
        <v>1816</v>
      </c>
      <c r="G2" s="18" t="n">
        <f aca="false">F2/E2</f>
        <v>0.0179999801762333</v>
      </c>
      <c r="H2" s="19" t="n">
        <v>5810</v>
      </c>
      <c r="I2" s="20" t="n">
        <f aca="false">H2/F2</f>
        <v>3.19933920704846</v>
      </c>
      <c r="J2" s="17" t="n">
        <v>22</v>
      </c>
      <c r="K2" s="18" t="n">
        <f aca="false">J2/F2</f>
        <v>0.0121145374449339</v>
      </c>
      <c r="L2" s="20" t="n">
        <f aca="false">H2/J2</f>
        <v>264.090909090909</v>
      </c>
      <c r="M2" s="19" t="n">
        <v>13178</v>
      </c>
      <c r="N2" s="21" t="n">
        <f aca="false">M2/H2</f>
        <v>2.26815834767642</v>
      </c>
    </row>
    <row r="3" customFormat="false" ht="15" hidden="false" customHeight="false" outlineLevel="0" collapsed="false">
      <c r="A3" s="22" t="n">
        <v>2</v>
      </c>
      <c r="B3" s="23" t="s">
        <v>53</v>
      </c>
      <c r="C3" s="24" t="s">
        <v>54</v>
      </c>
      <c r="D3" s="24" t="s">
        <v>55</v>
      </c>
      <c r="E3" s="25" t="n">
        <v>114744</v>
      </c>
      <c r="F3" s="25" t="n">
        <v>2148</v>
      </c>
      <c r="G3" s="26" t="n">
        <f aca="false">F3/E3</f>
        <v>0.0187199330683957</v>
      </c>
      <c r="H3" s="27" t="n">
        <v>6770</v>
      </c>
      <c r="I3" s="28" t="n">
        <f aca="false">H3/F3</f>
        <v>3.15176908752328</v>
      </c>
      <c r="J3" s="25" t="n">
        <v>27</v>
      </c>
      <c r="K3" s="26" t="n">
        <f aca="false">J3/F3</f>
        <v>0.0125698324022346</v>
      </c>
      <c r="L3" s="28" t="n">
        <f aca="false">H3/J3</f>
        <v>250.740740740741</v>
      </c>
      <c r="M3" s="27" t="n">
        <v>16173</v>
      </c>
      <c r="N3" s="29" t="n">
        <f aca="false">M3/H3</f>
        <v>2.38892171344165</v>
      </c>
    </row>
    <row r="4" customFormat="false" ht="15" hidden="false" customHeight="false" outlineLevel="0" collapsed="false">
      <c r="A4" s="14" t="n">
        <v>3</v>
      </c>
      <c r="B4" s="15" t="s">
        <v>53</v>
      </c>
      <c r="C4" s="16" t="s">
        <v>54</v>
      </c>
      <c r="D4" s="16" t="s">
        <v>55</v>
      </c>
      <c r="E4" s="17" t="n">
        <v>112346</v>
      </c>
      <c r="F4" s="17" t="n">
        <v>2184</v>
      </c>
      <c r="G4" s="18" t="n">
        <f aca="false">F4/E4</f>
        <v>0.0194399444573016</v>
      </c>
      <c r="H4" s="19" t="n">
        <v>6780</v>
      </c>
      <c r="I4" s="20" t="n">
        <f aca="false">H4/F4</f>
        <v>3.1043956043956</v>
      </c>
      <c r="J4" s="17" t="n">
        <v>28</v>
      </c>
      <c r="K4" s="18" t="n">
        <f aca="false">J4/F4</f>
        <v>0.0128205128205128</v>
      </c>
      <c r="L4" s="20" t="n">
        <f aca="false">H4/J4</f>
        <v>242.142857142857</v>
      </c>
      <c r="M4" s="19" t="n">
        <v>16772</v>
      </c>
      <c r="N4" s="21" t="n">
        <f aca="false">M4/H4</f>
        <v>2.47374631268437</v>
      </c>
    </row>
    <row r="5" customFormat="false" ht="15" hidden="false" customHeight="false" outlineLevel="0" collapsed="false">
      <c r="A5" s="22" t="n">
        <v>4</v>
      </c>
      <c r="B5" s="23" t="s">
        <v>53</v>
      </c>
      <c r="C5" s="24" t="s">
        <v>54</v>
      </c>
      <c r="D5" s="24" t="s">
        <v>55</v>
      </c>
      <c r="E5" s="25" t="n">
        <v>109871</v>
      </c>
      <c r="F5" s="25" t="n">
        <v>2215</v>
      </c>
      <c r="G5" s="26" t="n">
        <f aca="false">F5/E5</f>
        <v>0.020160005825013</v>
      </c>
      <c r="H5" s="27" t="n">
        <v>6770</v>
      </c>
      <c r="I5" s="28" t="n">
        <f aca="false">H5/F5</f>
        <v>3.05643340857788</v>
      </c>
      <c r="J5" s="25" t="n">
        <v>30</v>
      </c>
      <c r="K5" s="26" t="n">
        <f aca="false">J5/F5</f>
        <v>0.0135440180586907</v>
      </c>
      <c r="L5" s="28" t="n">
        <f aca="false">H5/J5</f>
        <v>225.666666666667</v>
      </c>
      <c r="M5" s="27" t="n">
        <v>17970</v>
      </c>
      <c r="N5" s="29" t="n">
        <f aca="false">M5/H5</f>
        <v>2.65435745937962</v>
      </c>
    </row>
    <row r="6" customFormat="false" ht="15" hidden="false" customHeight="false" outlineLevel="0" collapsed="false">
      <c r="A6" s="14" t="n">
        <v>5</v>
      </c>
      <c r="B6" s="15" t="s">
        <v>53</v>
      </c>
      <c r="C6" s="16" t="s">
        <v>54</v>
      </c>
      <c r="D6" s="16" t="s">
        <v>55</v>
      </c>
      <c r="E6" s="17" t="n">
        <v>61638</v>
      </c>
      <c r="F6" s="17" t="n">
        <v>1287</v>
      </c>
      <c r="G6" s="18" t="n">
        <f aca="false">F6/E6</f>
        <v>0.0208799766377884</v>
      </c>
      <c r="H6" s="19" t="n">
        <v>3870</v>
      </c>
      <c r="I6" s="20" t="n">
        <f aca="false">H6/F6</f>
        <v>3.00699300699301</v>
      </c>
      <c r="J6" s="17" t="n">
        <v>18</v>
      </c>
      <c r="K6" s="18" t="n">
        <f aca="false">J6/F6</f>
        <v>0.013986013986014</v>
      </c>
      <c r="L6" s="20" t="n">
        <f aca="false">H6/J6</f>
        <v>215</v>
      </c>
      <c r="M6" s="19" t="n">
        <v>10782</v>
      </c>
      <c r="N6" s="21" t="n">
        <f aca="false">M6/H6</f>
        <v>2.78604651162791</v>
      </c>
    </row>
    <row r="7" customFormat="false" ht="15" hidden="false" customHeight="false" outlineLevel="0" collapsed="false">
      <c r="A7" s="22" t="n">
        <v>1</v>
      </c>
      <c r="B7" s="23" t="s">
        <v>53</v>
      </c>
      <c r="C7" s="24" t="s">
        <v>56</v>
      </c>
      <c r="D7" s="24" t="s">
        <v>48</v>
      </c>
      <c r="E7" s="25" t="n">
        <v>41680</v>
      </c>
      <c r="F7" s="25" t="n">
        <v>1042</v>
      </c>
      <c r="G7" s="26" t="n">
        <f aca="false">F7/E7</f>
        <v>0.025</v>
      </c>
      <c r="H7" s="27" t="n">
        <v>6770</v>
      </c>
      <c r="I7" s="28" t="n">
        <f aca="false">H7/F7</f>
        <v>6.49712092130518</v>
      </c>
      <c r="J7" s="25" t="n">
        <v>68</v>
      </c>
      <c r="K7" s="26" t="n">
        <f aca="false">J7/F7</f>
        <v>0.0652591170825336</v>
      </c>
      <c r="L7" s="28" t="n">
        <f aca="false">H7/J7</f>
        <v>99.5588235294118</v>
      </c>
      <c r="M7" s="27" t="n">
        <v>40732</v>
      </c>
      <c r="N7" s="29" t="n">
        <f aca="false">M7/H7</f>
        <v>6.0165435745938</v>
      </c>
    </row>
    <row r="8" customFormat="false" ht="15" hidden="false" customHeight="false" outlineLevel="0" collapsed="false">
      <c r="A8" s="14" t="n">
        <v>2</v>
      </c>
      <c r="B8" s="15" t="s">
        <v>53</v>
      </c>
      <c r="C8" s="16" t="s">
        <v>56</v>
      </c>
      <c r="D8" s="16" t="s">
        <v>48</v>
      </c>
      <c r="E8" s="17" t="n">
        <v>47462</v>
      </c>
      <c r="F8" s="17" t="n">
        <v>1234</v>
      </c>
      <c r="G8" s="18" t="n">
        <f aca="false">F8/E8</f>
        <v>0.025999747166154</v>
      </c>
      <c r="H8" s="19" t="n">
        <v>7900</v>
      </c>
      <c r="I8" s="20" t="n">
        <f aca="false">H8/F8</f>
        <v>6.40194489465154</v>
      </c>
      <c r="J8" s="17" t="n">
        <v>83</v>
      </c>
      <c r="K8" s="18" t="n">
        <f aca="false">J8/F8</f>
        <v>0.0672609400324149</v>
      </c>
      <c r="L8" s="20" t="n">
        <f aca="false">H8/J8</f>
        <v>95.1807228915663</v>
      </c>
      <c r="M8" s="19" t="n">
        <v>49717</v>
      </c>
      <c r="N8" s="21" t="n">
        <f aca="false">M8/H8</f>
        <v>6.29329113924051</v>
      </c>
    </row>
    <row r="9" customFormat="false" ht="15" hidden="false" customHeight="false" outlineLevel="0" collapsed="false">
      <c r="A9" s="22" t="n">
        <v>3</v>
      </c>
      <c r="B9" s="23" t="s">
        <v>53</v>
      </c>
      <c r="C9" s="24" t="s">
        <v>56</v>
      </c>
      <c r="D9" s="24" t="s">
        <v>48</v>
      </c>
      <c r="E9" s="25" t="n">
        <v>46481</v>
      </c>
      <c r="F9" s="25" t="n">
        <v>1255</v>
      </c>
      <c r="G9" s="26" t="n">
        <f aca="false">F9/E9</f>
        <v>0.027000279684172</v>
      </c>
      <c r="H9" s="27" t="n">
        <v>7910</v>
      </c>
      <c r="I9" s="28" t="n">
        <f aca="false">H9/F9</f>
        <v>6.30278884462151</v>
      </c>
      <c r="J9" s="25" t="n">
        <v>88</v>
      </c>
      <c r="K9" s="26" t="n">
        <f aca="false">J9/F9</f>
        <v>0.0701195219123506</v>
      </c>
      <c r="L9" s="28" t="n">
        <f aca="false">H9/J9</f>
        <v>89.8863636363636</v>
      </c>
      <c r="M9" s="27" t="n">
        <v>52712</v>
      </c>
      <c r="N9" s="29" t="n">
        <f aca="false">M9/H9</f>
        <v>6.66396965865992</v>
      </c>
    </row>
    <row r="10" customFormat="false" ht="15" hidden="false" customHeight="false" outlineLevel="0" collapsed="false">
      <c r="A10" s="14" t="n">
        <v>4</v>
      </c>
      <c r="B10" s="15" t="s">
        <v>53</v>
      </c>
      <c r="C10" s="16" t="s">
        <v>56</v>
      </c>
      <c r="D10" s="16" t="s">
        <v>48</v>
      </c>
      <c r="E10" s="17" t="n">
        <v>45464</v>
      </c>
      <c r="F10" s="17" t="n">
        <v>1273</v>
      </c>
      <c r="G10" s="18" t="n">
        <f aca="false">F10/E10</f>
        <v>0.0280001759633996</v>
      </c>
      <c r="H10" s="19" t="n">
        <v>7900</v>
      </c>
      <c r="I10" s="20" t="n">
        <f aca="false">H10/F10</f>
        <v>6.20581304006284</v>
      </c>
      <c r="J10" s="17" t="n">
        <v>93</v>
      </c>
      <c r="K10" s="18" t="n">
        <f aca="false">J10/F10</f>
        <v>0.0730557737627651</v>
      </c>
      <c r="L10" s="20" t="n">
        <f aca="false">H10/J10</f>
        <v>84.9462365591398</v>
      </c>
      <c r="M10" s="19" t="n">
        <v>55707</v>
      </c>
      <c r="N10" s="21" t="n">
        <f aca="false">M10/H10</f>
        <v>7.05151898734177</v>
      </c>
    </row>
    <row r="11" customFormat="false" ht="15" hidden="false" customHeight="false" outlineLevel="0" collapsed="false">
      <c r="A11" s="22" t="n">
        <v>5</v>
      </c>
      <c r="B11" s="23" t="s">
        <v>53</v>
      </c>
      <c r="C11" s="24" t="s">
        <v>56</v>
      </c>
      <c r="D11" s="24" t="s">
        <v>48</v>
      </c>
      <c r="E11" s="25" t="n">
        <v>21264</v>
      </c>
      <c r="F11" s="25" t="n">
        <v>740</v>
      </c>
      <c r="G11" s="26" t="n">
        <f aca="false">F11/E11</f>
        <v>0.0348006019563582</v>
      </c>
      <c r="H11" s="27" t="n">
        <v>4520</v>
      </c>
      <c r="I11" s="28" t="n">
        <f aca="false">H11/F11</f>
        <v>6.10810810810811</v>
      </c>
      <c r="J11" s="25" t="n">
        <v>67</v>
      </c>
      <c r="K11" s="26" t="n">
        <f aca="false">J11/F11</f>
        <v>0.0905405405405406</v>
      </c>
      <c r="L11" s="28" t="n">
        <f aca="false">H11/J11</f>
        <v>67.4626865671642</v>
      </c>
      <c r="M11" s="27" t="n">
        <v>40133</v>
      </c>
      <c r="N11" s="29" t="n">
        <f aca="false">M11/H11</f>
        <v>8.87898230088496</v>
      </c>
    </row>
    <row r="12" customFormat="false" ht="15" hidden="false" customHeight="false" outlineLevel="0" collapsed="false">
      <c r="A12" s="14" t="n">
        <v>1</v>
      </c>
      <c r="B12" s="15" t="s">
        <v>53</v>
      </c>
      <c r="C12" s="16" t="s">
        <v>57</v>
      </c>
      <c r="D12" s="16" t="s">
        <v>58</v>
      </c>
      <c r="E12" s="17" t="n">
        <v>54031</v>
      </c>
      <c r="F12" s="17" t="n">
        <v>1729</v>
      </c>
      <c r="G12" s="18" t="n">
        <f aca="false">F12/E12</f>
        <v>0.0320001480631489</v>
      </c>
      <c r="H12" s="19" t="n">
        <v>4840</v>
      </c>
      <c r="I12" s="20" t="n">
        <f aca="false">H12/F12</f>
        <v>2.79930595720069</v>
      </c>
      <c r="J12" s="17" t="n">
        <v>35</v>
      </c>
      <c r="K12" s="18" t="n">
        <f aca="false">J12/F12</f>
        <v>0.0202429149797571</v>
      </c>
      <c r="L12" s="20" t="n">
        <f aca="false">H12/J12</f>
        <v>138.285714285714</v>
      </c>
      <c r="M12" s="19" t="n">
        <v>20965</v>
      </c>
      <c r="N12" s="21" t="n">
        <f aca="false">M12/H12</f>
        <v>4.33161157024793</v>
      </c>
    </row>
    <row r="13" customFormat="false" ht="15" hidden="false" customHeight="false" outlineLevel="0" collapsed="false">
      <c r="A13" s="22" t="n">
        <v>2</v>
      </c>
      <c r="B13" s="23" t="s">
        <v>53</v>
      </c>
      <c r="C13" s="24" t="s">
        <v>57</v>
      </c>
      <c r="D13" s="24" t="s">
        <v>58</v>
      </c>
      <c r="E13" s="25" t="n">
        <v>61569</v>
      </c>
      <c r="F13" s="25" t="n">
        <v>2049</v>
      </c>
      <c r="G13" s="26" t="n">
        <f aca="false">F13/E13</f>
        <v>0.0332797349315402</v>
      </c>
      <c r="H13" s="27" t="n">
        <v>5650</v>
      </c>
      <c r="I13" s="28" t="n">
        <f aca="false">H13/F13</f>
        <v>2.75744265495364</v>
      </c>
      <c r="J13" s="25" t="n">
        <v>43</v>
      </c>
      <c r="K13" s="26" t="n">
        <f aca="false">J13/F13</f>
        <v>0.0209858467545144</v>
      </c>
      <c r="L13" s="28" t="n">
        <f aca="false">H13/J13</f>
        <v>131.395348837209</v>
      </c>
      <c r="M13" s="27" t="n">
        <v>25757</v>
      </c>
      <c r="N13" s="29" t="n">
        <f aca="false">M13/H13</f>
        <v>4.5587610619469</v>
      </c>
    </row>
    <row r="14" customFormat="false" ht="15" hidden="false" customHeight="false" outlineLevel="0" collapsed="false">
      <c r="A14" s="14" t="n">
        <v>3</v>
      </c>
      <c r="B14" s="15" t="s">
        <v>53</v>
      </c>
      <c r="C14" s="16" t="s">
        <v>57</v>
      </c>
      <c r="D14" s="16" t="s">
        <v>58</v>
      </c>
      <c r="E14" s="17" t="n">
        <v>59983</v>
      </c>
      <c r="F14" s="17" t="n">
        <v>2073</v>
      </c>
      <c r="G14" s="18" t="n">
        <f aca="false">F14/E14</f>
        <v>0.03455979194105</v>
      </c>
      <c r="H14" s="19" t="n">
        <v>5630</v>
      </c>
      <c r="I14" s="20" t="n">
        <f aca="false">H14/F14</f>
        <v>2.71587071876508</v>
      </c>
      <c r="J14" s="17" t="n">
        <v>45</v>
      </c>
      <c r="K14" s="18" t="n">
        <f aca="false">J14/F14</f>
        <v>0.0217076700434153</v>
      </c>
      <c r="L14" s="20" t="n">
        <f aca="false">H14/J14</f>
        <v>125.111111111111</v>
      </c>
      <c r="M14" s="19" t="n">
        <v>26955</v>
      </c>
      <c r="N14" s="21" t="n">
        <f aca="false">M14/H14</f>
        <v>4.78774422735346</v>
      </c>
    </row>
    <row r="15" customFormat="false" ht="15" hidden="false" customHeight="false" outlineLevel="0" collapsed="false">
      <c r="A15" s="22" t="n">
        <v>4</v>
      </c>
      <c r="B15" s="23" t="s">
        <v>53</v>
      </c>
      <c r="C15" s="24" t="s">
        <v>57</v>
      </c>
      <c r="D15" s="24" t="s">
        <v>58</v>
      </c>
      <c r="E15" s="25" t="n">
        <v>43671</v>
      </c>
      <c r="F15" s="25" t="n">
        <v>2113</v>
      </c>
      <c r="G15" s="26" t="n">
        <f aca="false">F15/E15</f>
        <v>0.0483845114606947</v>
      </c>
      <c r="H15" s="27" t="n">
        <v>5650</v>
      </c>
      <c r="I15" s="28" t="n">
        <f aca="false">H15/F15</f>
        <v>2.6739233317558</v>
      </c>
      <c r="J15" s="25" t="n">
        <v>64</v>
      </c>
      <c r="K15" s="26" t="n">
        <f aca="false">J15/F15</f>
        <v>0.0302886890676763</v>
      </c>
      <c r="L15" s="28" t="n">
        <f aca="false">H15/J15</f>
        <v>88.28125</v>
      </c>
      <c r="M15" s="27" t="n">
        <v>38336</v>
      </c>
      <c r="N15" s="29" t="n">
        <f aca="false">M15/H15</f>
        <v>6.78513274336283</v>
      </c>
    </row>
    <row r="16" customFormat="false" ht="15" hidden="false" customHeight="false" outlineLevel="0" collapsed="false">
      <c r="A16" s="14" t="n">
        <v>5</v>
      </c>
      <c r="B16" s="15" t="s">
        <v>53</v>
      </c>
      <c r="C16" s="16" t="s">
        <v>57</v>
      </c>
      <c r="D16" s="16" t="s">
        <v>58</v>
      </c>
      <c r="E16" s="17" t="n">
        <v>28743</v>
      </c>
      <c r="F16" s="17" t="n">
        <v>1227</v>
      </c>
      <c r="G16" s="18" t="n">
        <f aca="false">F16/E16</f>
        <v>0.0426886546289531</v>
      </c>
      <c r="H16" s="19" t="n">
        <v>3230</v>
      </c>
      <c r="I16" s="20" t="n">
        <f aca="false">H16/F16</f>
        <v>2.63243683781581</v>
      </c>
      <c r="J16" s="17" t="n">
        <v>33</v>
      </c>
      <c r="K16" s="18" t="n">
        <f aca="false">J16/F16</f>
        <v>0.0268948655256724</v>
      </c>
      <c r="L16" s="20" t="n">
        <f aca="false">H16/J16</f>
        <v>97.8787878787879</v>
      </c>
      <c r="M16" s="19" t="n">
        <v>19767</v>
      </c>
      <c r="N16" s="21" t="n">
        <f aca="false">M16/H16</f>
        <v>6.11981424148607</v>
      </c>
    </row>
    <row r="17" customFormat="false" ht="15" hidden="false" customHeight="false" outlineLevel="0" collapsed="false">
      <c r="A17" s="22" t="n">
        <v>1</v>
      </c>
      <c r="B17" s="30" t="s">
        <v>59</v>
      </c>
      <c r="C17" s="24" t="s">
        <v>60</v>
      </c>
      <c r="D17" s="24" t="s">
        <v>61</v>
      </c>
      <c r="E17" s="25" t="n">
        <v>11311</v>
      </c>
      <c r="F17" s="25" t="n">
        <v>509</v>
      </c>
      <c r="G17" s="26" t="n">
        <f aca="false">F17/E17</f>
        <v>0.0450004420475643</v>
      </c>
      <c r="H17" s="27" t="n">
        <v>4840</v>
      </c>
      <c r="I17" s="28" t="n">
        <f aca="false">H17/F17</f>
        <v>9.50884086444008</v>
      </c>
      <c r="J17" s="25" t="n">
        <v>36</v>
      </c>
      <c r="K17" s="26" t="n">
        <f aca="false">J17/F17</f>
        <v>0.0707269155206287</v>
      </c>
      <c r="L17" s="28" t="n">
        <f aca="false">H17/J17</f>
        <v>134.444444444444</v>
      </c>
      <c r="M17" s="27" t="n">
        <v>21564</v>
      </c>
      <c r="N17" s="29" t="n">
        <f aca="false">M17/H17</f>
        <v>4.45537190082645</v>
      </c>
    </row>
    <row r="18" customFormat="false" ht="15" hidden="false" customHeight="false" outlineLevel="0" collapsed="false">
      <c r="A18" s="14" t="n">
        <v>2</v>
      </c>
      <c r="B18" s="31" t="s">
        <v>59</v>
      </c>
      <c r="C18" s="16" t="s">
        <v>60</v>
      </c>
      <c r="D18" s="16" t="s">
        <v>61</v>
      </c>
      <c r="E18" s="17" t="n">
        <v>12906</v>
      </c>
      <c r="F18" s="17" t="n">
        <v>604</v>
      </c>
      <c r="G18" s="18" t="n">
        <f aca="false">F18/E18</f>
        <v>0.0467999380133271</v>
      </c>
      <c r="H18" s="19" t="n">
        <v>5650</v>
      </c>
      <c r="I18" s="20" t="n">
        <f aca="false">H18/F18</f>
        <v>9.35430463576159</v>
      </c>
      <c r="J18" s="17" t="n">
        <v>44</v>
      </c>
      <c r="K18" s="18" t="n">
        <f aca="false">J18/F18</f>
        <v>0.0728476821192053</v>
      </c>
      <c r="L18" s="20" t="n">
        <f aca="false">H18/J18</f>
        <v>128.409090909091</v>
      </c>
      <c r="M18" s="19" t="n">
        <v>26356</v>
      </c>
      <c r="N18" s="21" t="n">
        <f aca="false">M18/H18</f>
        <v>4.66477876106195</v>
      </c>
    </row>
    <row r="19" customFormat="false" ht="15" hidden="false" customHeight="false" outlineLevel="0" collapsed="false">
      <c r="A19" s="22" t="n">
        <v>3</v>
      </c>
      <c r="B19" s="30" t="s">
        <v>59</v>
      </c>
      <c r="C19" s="24" t="s">
        <v>60</v>
      </c>
      <c r="D19" s="24" t="s">
        <v>61</v>
      </c>
      <c r="E19" s="25" t="n">
        <v>12572</v>
      </c>
      <c r="F19" s="25" t="n">
        <v>611</v>
      </c>
      <c r="G19" s="26" t="n">
        <f aca="false">F19/E19</f>
        <v>0.0486000636334712</v>
      </c>
      <c r="H19" s="27" t="n">
        <v>5630</v>
      </c>
      <c r="I19" s="28" t="n">
        <f aca="false">H19/F19</f>
        <v>9.21440261865794</v>
      </c>
      <c r="J19" s="25" t="n">
        <v>46</v>
      </c>
      <c r="K19" s="26" t="n">
        <f aca="false">J19/F19</f>
        <v>0.0752864157119476</v>
      </c>
      <c r="L19" s="28" t="n">
        <f aca="false">H19/J19</f>
        <v>122.391304347826</v>
      </c>
      <c r="M19" s="27" t="n">
        <v>27554</v>
      </c>
      <c r="N19" s="29" t="n">
        <f aca="false">M19/H19</f>
        <v>4.89413854351687</v>
      </c>
    </row>
    <row r="20" customFormat="false" ht="15" hidden="false" customHeight="false" outlineLevel="0" collapsed="false">
      <c r="A20" s="14" t="n">
        <v>4</v>
      </c>
      <c r="B20" s="31" t="s">
        <v>59</v>
      </c>
      <c r="C20" s="16" t="s">
        <v>60</v>
      </c>
      <c r="D20" s="16" t="s">
        <v>61</v>
      </c>
      <c r="E20" s="17" t="n">
        <v>12361</v>
      </c>
      <c r="F20" s="17" t="n">
        <v>623</v>
      </c>
      <c r="G20" s="18" t="n">
        <f aca="false">F20/E20</f>
        <v>0.0504004530377801</v>
      </c>
      <c r="H20" s="19" t="n">
        <v>5650</v>
      </c>
      <c r="I20" s="20" t="n">
        <f aca="false">H20/F20</f>
        <v>9.06902086677368</v>
      </c>
      <c r="J20" s="17" t="n">
        <v>49</v>
      </c>
      <c r="K20" s="18" t="n">
        <f aca="false">J20/F20</f>
        <v>0.0786516853932584</v>
      </c>
      <c r="L20" s="20" t="n">
        <f aca="false">H20/J20</f>
        <v>115.30612244898</v>
      </c>
      <c r="M20" s="19" t="n">
        <v>29351</v>
      </c>
      <c r="N20" s="21" t="n">
        <f aca="false">M20/H20</f>
        <v>5.19486725663717</v>
      </c>
    </row>
    <row r="21" customFormat="false" ht="15" hidden="false" customHeight="false" outlineLevel="0" collapsed="false">
      <c r="A21" s="22" t="n">
        <v>5</v>
      </c>
      <c r="B21" s="30" t="s">
        <v>59</v>
      </c>
      <c r="C21" s="24" t="s">
        <v>60</v>
      </c>
      <c r="D21" s="24" t="s">
        <v>61</v>
      </c>
      <c r="E21" s="25" t="n">
        <v>6935</v>
      </c>
      <c r="F21" s="25" t="n">
        <v>362</v>
      </c>
      <c r="G21" s="26" t="n">
        <f aca="false">F21/E21</f>
        <v>0.0521989906272531</v>
      </c>
      <c r="H21" s="27" t="n">
        <v>3230</v>
      </c>
      <c r="I21" s="28" t="n">
        <f aca="false">H21/F21</f>
        <v>8.92265193370166</v>
      </c>
      <c r="J21" s="25" t="n">
        <v>29</v>
      </c>
      <c r="K21" s="26" t="n">
        <f aca="false">J21/F21</f>
        <v>0.0801104972375691</v>
      </c>
      <c r="L21" s="28" t="n">
        <f aca="false">H21/J21</f>
        <v>111.379310344828</v>
      </c>
      <c r="M21" s="27" t="n">
        <v>17371</v>
      </c>
      <c r="N21" s="29" t="n">
        <f aca="false">M21/H21</f>
        <v>5.37801857585139</v>
      </c>
    </row>
    <row r="22" customFormat="false" ht="15" hidden="false" customHeight="false" outlineLevel="0" collapsed="false">
      <c r="A22" s="14" t="n">
        <v>1</v>
      </c>
      <c r="B22" s="31" t="s">
        <v>59</v>
      </c>
      <c r="C22" s="16" t="s">
        <v>62</v>
      </c>
      <c r="D22" s="16" t="s">
        <v>63</v>
      </c>
      <c r="E22" s="17" t="n">
        <v>36867</v>
      </c>
      <c r="F22" s="17" t="n">
        <v>553</v>
      </c>
      <c r="G22" s="18" t="n">
        <f aca="false">F22/E22</f>
        <v>0.0149998643773564</v>
      </c>
      <c r="H22" s="19" t="n">
        <v>3870</v>
      </c>
      <c r="I22" s="20" t="n">
        <f aca="false">H22/F22</f>
        <v>6.99819168173599</v>
      </c>
      <c r="J22" s="17" t="n">
        <v>17</v>
      </c>
      <c r="K22" s="18" t="n">
        <f aca="false">J22/F22</f>
        <v>0.0307414104882459</v>
      </c>
      <c r="L22" s="20" t="n">
        <f aca="false">H22/J22</f>
        <v>227.647058823529</v>
      </c>
      <c r="M22" s="19" t="n">
        <v>22083</v>
      </c>
      <c r="N22" s="21" t="n">
        <f aca="false">M22/H22</f>
        <v>5.7062015503876</v>
      </c>
    </row>
    <row r="23" customFormat="false" ht="15" hidden="false" customHeight="false" outlineLevel="0" collapsed="false">
      <c r="A23" s="22" t="n">
        <v>2</v>
      </c>
      <c r="B23" s="30" t="s">
        <v>59</v>
      </c>
      <c r="C23" s="24" t="s">
        <v>62</v>
      </c>
      <c r="D23" s="24" t="s">
        <v>63</v>
      </c>
      <c r="E23" s="25" t="n">
        <v>42051</v>
      </c>
      <c r="F23" s="25" t="n">
        <v>656</v>
      </c>
      <c r="G23" s="26" t="n">
        <f aca="false">F23/E23</f>
        <v>0.0156001046348482</v>
      </c>
      <c r="H23" s="27" t="n">
        <v>4520</v>
      </c>
      <c r="I23" s="28" t="n">
        <f aca="false">H23/F23</f>
        <v>6.89024390243903</v>
      </c>
      <c r="J23" s="25" t="n">
        <v>20</v>
      </c>
      <c r="K23" s="26" t="n">
        <f aca="false">J23/F23</f>
        <v>0.0304878048780488</v>
      </c>
      <c r="L23" s="28" t="n">
        <f aca="false">H23/J23</f>
        <v>226</v>
      </c>
      <c r="M23" s="27" t="n">
        <v>25980</v>
      </c>
      <c r="N23" s="29" t="n">
        <f aca="false">M23/H23</f>
        <v>5.74778761061947</v>
      </c>
    </row>
    <row r="24" customFormat="false" ht="15" hidden="false" customHeight="false" outlineLevel="0" collapsed="false">
      <c r="A24" s="14" t="n">
        <v>3</v>
      </c>
      <c r="B24" s="31" t="s">
        <v>59</v>
      </c>
      <c r="C24" s="16" t="s">
        <v>62</v>
      </c>
      <c r="D24" s="16" t="s">
        <v>63</v>
      </c>
      <c r="E24" s="17" t="n">
        <v>40988</v>
      </c>
      <c r="F24" s="17" t="n">
        <v>664</v>
      </c>
      <c r="G24" s="18" t="n">
        <f aca="false">F24/E24</f>
        <v>0.0161998633746462</v>
      </c>
      <c r="H24" s="19" t="n">
        <v>4510</v>
      </c>
      <c r="I24" s="20" t="n">
        <f aca="false">H24/F24</f>
        <v>6.7921686746988</v>
      </c>
      <c r="J24" s="17" t="n">
        <v>22</v>
      </c>
      <c r="K24" s="18" t="n">
        <f aca="false">J24/F24</f>
        <v>0.0331325301204819</v>
      </c>
      <c r="L24" s="20" t="n">
        <f aca="false">H24/J24</f>
        <v>205</v>
      </c>
      <c r="M24" s="19" t="n">
        <v>28578</v>
      </c>
      <c r="N24" s="21" t="n">
        <f aca="false">M24/H24</f>
        <v>6.33658536585366</v>
      </c>
    </row>
    <row r="25" customFormat="false" ht="15" hidden="false" customHeight="false" outlineLevel="0" collapsed="false">
      <c r="A25" s="22" t="n">
        <v>4</v>
      </c>
      <c r="B25" s="30" t="s">
        <v>59</v>
      </c>
      <c r="C25" s="24" t="s">
        <v>62</v>
      </c>
      <c r="D25" s="24" t="s">
        <v>63</v>
      </c>
      <c r="E25" s="25" t="n">
        <v>40238</v>
      </c>
      <c r="F25" s="25" t="n">
        <v>676</v>
      </c>
      <c r="G25" s="26" t="n">
        <f aca="false">F25/E25</f>
        <v>0.0168000397634077</v>
      </c>
      <c r="H25" s="27" t="n">
        <v>4520</v>
      </c>
      <c r="I25" s="28" t="n">
        <f aca="false">H25/F25</f>
        <v>6.68639053254438</v>
      </c>
      <c r="J25" s="25" t="n">
        <v>23</v>
      </c>
      <c r="K25" s="26" t="n">
        <f aca="false">J25/F25</f>
        <v>0.0340236686390533</v>
      </c>
      <c r="L25" s="28" t="n">
        <f aca="false">H25/J25</f>
        <v>196.521739130435</v>
      </c>
      <c r="M25" s="27" t="n">
        <v>29877</v>
      </c>
      <c r="N25" s="29" t="n">
        <f aca="false">M25/H25</f>
        <v>6.60995575221239</v>
      </c>
    </row>
    <row r="26" customFormat="false" ht="15" hidden="false" customHeight="false" outlineLevel="0" collapsed="false">
      <c r="A26" s="14" t="n">
        <v>5</v>
      </c>
      <c r="B26" s="31" t="s">
        <v>59</v>
      </c>
      <c r="C26" s="16" t="s">
        <v>62</v>
      </c>
      <c r="D26" s="16" t="s">
        <v>63</v>
      </c>
      <c r="E26" s="17" t="n">
        <v>18023</v>
      </c>
      <c r="F26" s="17" t="n">
        <v>392</v>
      </c>
      <c r="G26" s="18" t="n">
        <f aca="false">F26/E26</f>
        <v>0.0217499861288354</v>
      </c>
      <c r="H26" s="19" t="n">
        <v>2580</v>
      </c>
      <c r="I26" s="20" t="n">
        <f aca="false">H26/F26</f>
        <v>6.58163265306123</v>
      </c>
      <c r="J26" s="17" t="n">
        <v>17</v>
      </c>
      <c r="K26" s="18" t="n">
        <f aca="false">J26/F26</f>
        <v>0.0433673469387755</v>
      </c>
      <c r="L26" s="20" t="n">
        <f aca="false">H26/J26</f>
        <v>151.764705882353</v>
      </c>
      <c r="M26" s="19" t="n">
        <v>22083</v>
      </c>
      <c r="N26" s="21" t="n">
        <f aca="false">M26/H26</f>
        <v>8.5593023255814</v>
      </c>
    </row>
    <row r="27" customFormat="false" ht="15" hidden="false" customHeight="false" outlineLevel="0" collapsed="false">
      <c r="A27" s="22" t="n">
        <v>1</v>
      </c>
      <c r="B27" s="30" t="s">
        <v>59</v>
      </c>
      <c r="C27" s="24" t="s">
        <v>64</v>
      </c>
      <c r="D27" s="24" t="s">
        <v>65</v>
      </c>
      <c r="E27" s="25" t="n">
        <v>8800</v>
      </c>
      <c r="F27" s="25" t="n">
        <v>264</v>
      </c>
      <c r="G27" s="26" t="n">
        <f aca="false">F27/E27</f>
        <v>0.03</v>
      </c>
      <c r="H27" s="27" t="n">
        <v>2900</v>
      </c>
      <c r="I27" s="28" t="n">
        <f aca="false">H27/F27</f>
        <v>10.9848484848485</v>
      </c>
      <c r="J27" s="25" t="n">
        <v>11</v>
      </c>
      <c r="K27" s="26" t="n">
        <f aca="false">J27/F27</f>
        <v>0.0416666666666667</v>
      </c>
      <c r="L27" s="28" t="n">
        <f aca="false">H27/J27</f>
        <v>263.636363636364</v>
      </c>
      <c r="M27" s="27" t="n">
        <v>6589</v>
      </c>
      <c r="N27" s="29" t="n">
        <f aca="false">M27/H27</f>
        <v>2.27206896551724</v>
      </c>
    </row>
    <row r="28" customFormat="false" ht="15" hidden="false" customHeight="false" outlineLevel="0" collapsed="false">
      <c r="A28" s="14" t="n">
        <v>2</v>
      </c>
      <c r="B28" s="31" t="s">
        <v>59</v>
      </c>
      <c r="C28" s="16" t="s">
        <v>64</v>
      </c>
      <c r="D28" s="16" t="s">
        <v>65</v>
      </c>
      <c r="E28" s="17" t="n">
        <v>10032</v>
      </c>
      <c r="F28" s="17" t="n">
        <v>313</v>
      </c>
      <c r="G28" s="18" t="n">
        <f aca="false">F28/E28</f>
        <v>0.0312001594896332</v>
      </c>
      <c r="H28" s="19" t="n">
        <v>3390</v>
      </c>
      <c r="I28" s="20" t="n">
        <f aca="false">H28/F28</f>
        <v>10.8306709265176</v>
      </c>
      <c r="J28" s="17" t="n">
        <v>13</v>
      </c>
      <c r="K28" s="18" t="n">
        <f aca="false">J28/F28</f>
        <v>0.0415335463258786</v>
      </c>
      <c r="L28" s="20" t="n">
        <f aca="false">H28/J28</f>
        <v>260.769230769231</v>
      </c>
      <c r="M28" s="19" t="n">
        <v>7787</v>
      </c>
      <c r="N28" s="21" t="n">
        <f aca="false">M28/H28</f>
        <v>2.29705014749263</v>
      </c>
    </row>
    <row r="29" customFormat="false" ht="15" hidden="false" customHeight="false" outlineLevel="0" collapsed="false">
      <c r="A29" s="22" t="n">
        <v>3</v>
      </c>
      <c r="B29" s="30" t="s">
        <v>59</v>
      </c>
      <c r="C29" s="24" t="s">
        <v>64</v>
      </c>
      <c r="D29" s="24" t="s">
        <v>65</v>
      </c>
      <c r="E29" s="25" t="n">
        <v>9784</v>
      </c>
      <c r="F29" s="25" t="n">
        <v>317</v>
      </c>
      <c r="G29" s="26" t="n">
        <f aca="false">F29/E29</f>
        <v>0.0323998364677024</v>
      </c>
      <c r="H29" s="27" t="n">
        <v>3380</v>
      </c>
      <c r="I29" s="28" t="n">
        <f aca="false">H29/F29</f>
        <v>10.6624605678233</v>
      </c>
      <c r="J29" s="25" t="n">
        <v>14</v>
      </c>
      <c r="K29" s="26" t="n">
        <f aca="false">J29/F29</f>
        <v>0.0441640378548896</v>
      </c>
      <c r="L29" s="28" t="n">
        <f aca="false">H29/J29</f>
        <v>241.428571428571</v>
      </c>
      <c r="M29" s="27" t="n">
        <v>8386</v>
      </c>
      <c r="N29" s="29" t="n">
        <f aca="false">M29/H29</f>
        <v>2.4810650887574</v>
      </c>
    </row>
    <row r="30" customFormat="false" ht="15" hidden="false" customHeight="false" outlineLevel="0" collapsed="false">
      <c r="A30" s="14" t="n">
        <v>4</v>
      </c>
      <c r="B30" s="31" t="s">
        <v>59</v>
      </c>
      <c r="C30" s="16" t="s">
        <v>64</v>
      </c>
      <c r="D30" s="16" t="s">
        <v>65</v>
      </c>
      <c r="E30" s="17" t="n">
        <v>9613</v>
      </c>
      <c r="F30" s="17" t="n">
        <v>323</v>
      </c>
      <c r="G30" s="18" t="n">
        <f aca="false">F30/E30</f>
        <v>0.0336003328825549</v>
      </c>
      <c r="H30" s="19" t="n">
        <v>3390</v>
      </c>
      <c r="I30" s="20" t="n">
        <f aca="false">H30/F30</f>
        <v>10.4953560371517</v>
      </c>
      <c r="J30" s="17" t="n">
        <v>14</v>
      </c>
      <c r="K30" s="18" t="n">
        <f aca="false">J30/F30</f>
        <v>0.043343653250774</v>
      </c>
      <c r="L30" s="20" t="n">
        <f aca="false">H30/J30</f>
        <v>242.142857142857</v>
      </c>
      <c r="M30" s="19" t="n">
        <v>8386</v>
      </c>
      <c r="N30" s="21" t="n">
        <f aca="false">M30/H30</f>
        <v>2.47374631268437</v>
      </c>
    </row>
    <row r="31" customFormat="false" ht="15" hidden="false" customHeight="false" outlineLevel="0" collapsed="false">
      <c r="A31" s="22" t="n">
        <v>5</v>
      </c>
      <c r="B31" s="30" t="s">
        <v>59</v>
      </c>
      <c r="C31" s="24" t="s">
        <v>64</v>
      </c>
      <c r="D31" s="24" t="s">
        <v>65</v>
      </c>
      <c r="E31" s="25" t="n">
        <v>5402</v>
      </c>
      <c r="F31" s="25" t="n">
        <v>188</v>
      </c>
      <c r="G31" s="26" t="n">
        <f aca="false">F31/E31</f>
        <v>0.0348019252128841</v>
      </c>
      <c r="H31" s="27" t="n">
        <v>1940</v>
      </c>
      <c r="I31" s="28" t="n">
        <f aca="false">H31/F31</f>
        <v>10.3191489361702</v>
      </c>
      <c r="J31" s="25" t="n">
        <v>9</v>
      </c>
      <c r="K31" s="26" t="n">
        <f aca="false">J31/F31</f>
        <v>0.0478723404255319</v>
      </c>
      <c r="L31" s="28" t="n">
        <f aca="false">H31/J31</f>
        <v>215.555555555556</v>
      </c>
      <c r="M31" s="27" t="n">
        <v>5391</v>
      </c>
      <c r="N31" s="29" t="n">
        <f aca="false">M31/H31</f>
        <v>2.77886597938144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9" min="7" style="0" width="9"/>
  </cols>
  <sheetData>
    <row r="1" customFormat="false" ht="25.5" hidden="false" customHeight="true" outlineLevel="0" collapsed="false">
      <c r="A1" s="13" t="s">
        <v>39</v>
      </c>
      <c r="B1" s="13" t="s">
        <v>66</v>
      </c>
      <c r="C1" s="13" t="s">
        <v>46</v>
      </c>
      <c r="D1" s="13" t="s">
        <v>44</v>
      </c>
      <c r="E1" s="13" t="s">
        <v>48</v>
      </c>
      <c r="F1" s="13" t="s">
        <v>51</v>
      </c>
      <c r="G1" s="13" t="s">
        <v>52</v>
      </c>
      <c r="H1" s="13" t="s">
        <v>45</v>
      </c>
      <c r="I1" s="13" t="s">
        <v>49</v>
      </c>
    </row>
    <row r="2" customFormat="false" ht="15" hidden="false" customHeight="false" outlineLevel="0" collapsed="false">
      <c r="A2" s="14" t="n">
        <v>1</v>
      </c>
      <c r="B2" s="32" t="s">
        <v>67</v>
      </c>
      <c r="C2" s="14" t="n">
        <v>29030</v>
      </c>
      <c r="D2" s="14" t="n">
        <v>5913</v>
      </c>
      <c r="E2" s="14" t="n">
        <v>189</v>
      </c>
      <c r="F2" s="14" t="n">
        <v>125111</v>
      </c>
      <c r="G2" s="21" t="n">
        <f aca="false">F2/C2</f>
        <v>4.30971408887358</v>
      </c>
      <c r="H2" s="18" t="n">
        <f aca="false">D2/253578</f>
        <v>0.0233182689350023</v>
      </c>
      <c r="I2" s="18" t="n">
        <f aca="false">E2/D2</f>
        <v>0.0319634703196347</v>
      </c>
    </row>
    <row r="3" customFormat="false" ht="15" hidden="false" customHeight="false" outlineLevel="0" collapsed="false">
      <c r="A3" s="22" t="n">
        <v>2</v>
      </c>
      <c r="B3" s="33" t="s">
        <v>68</v>
      </c>
      <c r="C3" s="22" t="n">
        <v>33880</v>
      </c>
      <c r="D3" s="22" t="n">
        <v>7004</v>
      </c>
      <c r="E3" s="22" t="n">
        <v>230</v>
      </c>
      <c r="F3" s="22" t="n">
        <v>151770</v>
      </c>
      <c r="G3" s="29" t="n">
        <f aca="false">F3/C3</f>
        <v>4.47963400236128</v>
      </c>
      <c r="H3" s="26" t="n">
        <f aca="false">D3/288764</f>
        <v>0.0242551010513776</v>
      </c>
      <c r="I3" s="26" t="n">
        <f aca="false">E3/D3</f>
        <v>0.0328383780696745</v>
      </c>
    </row>
    <row r="4" customFormat="false" ht="15" hidden="false" customHeight="false" outlineLevel="0" collapsed="false">
      <c r="A4" s="14" t="n">
        <v>3</v>
      </c>
      <c r="B4" s="32" t="s">
        <v>69</v>
      </c>
      <c r="C4" s="14" t="n">
        <v>33840</v>
      </c>
      <c r="D4" s="14" t="n">
        <v>7104</v>
      </c>
      <c r="E4" s="14" t="n">
        <v>243</v>
      </c>
      <c r="F4" s="14" t="n">
        <v>160957</v>
      </c>
      <c r="G4" s="21" t="n">
        <f aca="false">F4/C4</f>
        <v>4.75641252955083</v>
      </c>
      <c r="H4" s="18" t="n">
        <f aca="false">D4/282154</f>
        <v>0.0251777398158452</v>
      </c>
      <c r="I4" s="18" t="n">
        <f aca="false">E4/D4</f>
        <v>0.0342060810810811</v>
      </c>
    </row>
    <row r="5" customFormat="false" ht="15" hidden="false" customHeight="false" outlineLevel="0" collapsed="false">
      <c r="A5" s="22" t="n">
        <v>4</v>
      </c>
      <c r="B5" s="33" t="s">
        <v>70</v>
      </c>
      <c r="C5" s="22" t="n">
        <v>33880</v>
      </c>
      <c r="D5" s="22" t="n">
        <v>7223</v>
      </c>
      <c r="E5" s="22" t="n">
        <v>273</v>
      </c>
      <c r="F5" s="22" t="n">
        <v>179627</v>
      </c>
      <c r="G5" s="29" t="n">
        <f aca="false">F5/C5</f>
        <v>5.30185950413223</v>
      </c>
      <c r="H5" s="26" t="n">
        <f aca="false">D5/261218</f>
        <v>0.0276512338353406</v>
      </c>
      <c r="I5" s="26" t="n">
        <f aca="false">E5/D5</f>
        <v>0.0377959296691126</v>
      </c>
    </row>
    <row r="6" customFormat="false" ht="15" hidden="false" customHeight="false" outlineLevel="0" collapsed="false">
      <c r="A6" s="14" t="n">
        <v>5</v>
      </c>
      <c r="B6" s="32" t="s">
        <v>71</v>
      </c>
      <c r="C6" s="14" t="n">
        <v>19370</v>
      </c>
      <c r="D6" s="14" t="n">
        <v>4196</v>
      </c>
      <c r="E6" s="14" t="n">
        <v>173</v>
      </c>
      <c r="F6" s="14" t="n">
        <v>115527</v>
      </c>
      <c r="G6" s="21" t="n">
        <f aca="false">F6/C6</f>
        <v>5.96422302529685</v>
      </c>
      <c r="H6" s="18" t="n">
        <f aca="false">D6/142005</f>
        <v>0.0295482553431217</v>
      </c>
      <c r="I6" s="18" t="n">
        <f aca="false">E6/D6</f>
        <v>0.0412297426120114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2026-07-04T05:42:55Z</dcterms:created>
  <dc:creator>openpyxl</dc:creator>
  <dc:description/>
  <dc:language>en-US</dc:language>
  <cp:lastModifiedBy/>
  <dcterms:modified xsi:type="dcterms:W3CDTF">2026-07-04T05:42:58Z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